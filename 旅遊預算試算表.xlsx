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882db808ae89461/桌面/AI練習區/旅遊規劃系統/"/>
    </mc:Choice>
  </mc:AlternateContent>
  <xr:revisionPtr revIDLastSave="0" documentId="11_B89955EE119CEF62D6D08CDB11471218DF5A815A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預算試算" sheetId="1" r:id="rId1"/>
    <sheet name="單價參考" sheetId="2" r:id="rId2"/>
    <sheet name="行程表" sheetId="3" r:id="rId3"/>
    <sheet name="攜帶清單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4" l="1"/>
  <c r="F25" i="3"/>
  <c r="B5" i="3"/>
  <c r="B4" i="3"/>
  <c r="C19" i="1"/>
  <c r="C18" i="1"/>
  <c r="C17" i="1"/>
  <c r="C16" i="1"/>
  <c r="C15" i="1"/>
  <c r="C14" i="1"/>
  <c r="C13" i="1"/>
  <c r="E7" i="1"/>
  <c r="E6" i="1"/>
  <c r="E5" i="1"/>
  <c r="E4" i="1"/>
  <c r="D18" i="1" s="1"/>
  <c r="E18" i="1" l="1"/>
  <c r="F18" i="1" s="1"/>
  <c r="D16" i="1"/>
  <c r="E16" i="1" s="1"/>
  <c r="F16" i="1" s="1"/>
  <c r="D19" i="1"/>
  <c r="E19" i="1" s="1"/>
  <c r="F19" i="1" s="1"/>
  <c r="D13" i="1"/>
  <c r="E13" i="1" s="1"/>
  <c r="D14" i="1"/>
  <c r="E14" i="1" s="1"/>
  <c r="F14" i="1" s="1"/>
  <c r="D17" i="1"/>
  <c r="E17" i="1" s="1"/>
  <c r="F17" i="1" s="1"/>
  <c r="D15" i="1"/>
  <c r="E15" i="1" s="1"/>
  <c r="F15" i="1" s="1"/>
  <c r="E20" i="1" l="1"/>
  <c r="F13" i="1"/>
  <c r="E21" i="1" l="1"/>
  <c r="E22" i="1" s="1"/>
  <c r="E23" i="1" l="1"/>
  <c r="E24" i="1"/>
</calcChain>
</file>

<file path=xl/sharedStrings.xml><?xml version="1.0" encoding="utf-8"?>
<sst xmlns="http://schemas.openxmlformats.org/spreadsheetml/2006/main" count="149" uniqueCount="105">
  <si>
    <t>🧳 旅遊預算試算表</t>
  </si>
  <si>
    <t>藍字＝可修改的輸入值；黑字＝公式自動計算。改目的地/人數/天數即時重算。</t>
  </si>
  <si>
    <t>目的地</t>
  </si>
  <si>
    <t>日本</t>
  </si>
  <si>
    <t>有效人數(小孩半價)</t>
  </si>
  <si>
    <t>出發日期</t>
  </si>
  <si>
    <t>2026-07-15</t>
  </si>
  <si>
    <t>住宿晚數</t>
  </si>
  <si>
    <t>天數</t>
  </si>
  <si>
    <t>匯率</t>
  </si>
  <si>
    <t>大人人數</t>
  </si>
  <si>
    <t>幣別</t>
  </si>
  <si>
    <t>小孩人數(半價計)</t>
  </si>
  <si>
    <t>風格係數(0.8省/1標準/1.5豪華)</t>
  </si>
  <si>
    <t>項目</t>
  </si>
  <si>
    <t>計算方式</t>
  </si>
  <si>
    <t>單價(TWD)</t>
  </si>
  <si>
    <t>數量</t>
  </si>
  <si>
    <t>小計(TWD)</t>
  </si>
  <si>
    <t>外幣參考</t>
  </si>
  <si>
    <t>機票（來回）</t>
  </si>
  <si>
    <t>每人一次</t>
  </si>
  <si>
    <t>住宿</t>
  </si>
  <si>
    <t>每人每晚</t>
  </si>
  <si>
    <t>餐飲</t>
  </si>
  <si>
    <t>每人每日</t>
  </si>
  <si>
    <t>當地交通</t>
  </si>
  <si>
    <t>景點門票／活動</t>
  </si>
  <si>
    <t>旅遊保險</t>
  </si>
  <si>
    <t>購物／伴手禮</t>
  </si>
  <si>
    <t>小計</t>
  </si>
  <si>
    <t>預備金 10%</t>
  </si>
  <si>
    <t>總預算</t>
  </si>
  <si>
    <t>每人平均(含小孩)</t>
  </si>
  <si>
    <t>總預算外幣參考</t>
  </si>
  <si>
    <t>機票來回(TWD/人)</t>
  </si>
  <si>
    <t>住宿(TWD/人/晚)</t>
  </si>
  <si>
    <t>餐飲(TWD/人/日)</t>
  </si>
  <si>
    <t>當地交通(TWD/人/日)</t>
  </si>
  <si>
    <t>門票活動(TWD/人/日)</t>
  </si>
  <si>
    <t>保險(TWD/人/日)</t>
  </si>
  <si>
    <t>購物預算(TWD/人)</t>
  </si>
  <si>
    <t>匯率(1外幣=?TWD)</t>
  </si>
  <si>
    <t>台灣</t>
  </si>
  <si>
    <t>TWD</t>
  </si>
  <si>
    <t>JPY</t>
  </si>
  <si>
    <t>韓國</t>
  </si>
  <si>
    <t>KRW</t>
  </si>
  <si>
    <t>泰國</t>
  </si>
  <si>
    <t>THB</t>
  </si>
  <si>
    <t>※ 單價為估算值（藍字可自行修改）。來源：2026 年市場行情概估，請依實際報價調整。</t>
  </si>
  <si>
    <t>🗓️ 逐日行程表</t>
  </si>
  <si>
    <t>第幾天</t>
  </si>
  <si>
    <t>日期</t>
  </si>
  <si>
    <t>時間</t>
  </si>
  <si>
    <t>行程內容</t>
  </si>
  <si>
    <t>交通方式</t>
  </si>
  <si>
    <t>預估費用(TWD)</t>
  </si>
  <si>
    <t>備註</t>
  </si>
  <si>
    <t>10:00</t>
  </si>
  <si>
    <t>抵達機場、領 WiFi/eSIM</t>
  </si>
  <si>
    <t>機場快線</t>
  </si>
  <si>
    <t>範例列，請自行修改</t>
  </si>
  <si>
    <t>15:00</t>
  </si>
  <si>
    <t>飯店 Check-in、周邊散步</t>
  </si>
  <si>
    <t>地鐵</t>
  </si>
  <si>
    <t>09:00</t>
  </si>
  <si>
    <t>（自行填入景點）</t>
  </si>
  <si>
    <t>費用合計</t>
  </si>
  <si>
    <t>🎒 攜帶物品檢查清單</t>
  </si>
  <si>
    <t>「已備」欄填 1 表示完成；進度自動計算。</t>
  </si>
  <si>
    <t>分類</t>
  </si>
  <si>
    <t>物品</t>
  </si>
  <si>
    <t>適用</t>
  </si>
  <si>
    <t>已備(填1)</t>
  </si>
  <si>
    <t>必帶</t>
  </si>
  <si>
    <t>護照（效期6個月以上）</t>
  </si>
  <si>
    <t>出國</t>
  </si>
  <si>
    <t>身分證／健保卡</t>
  </si>
  <si>
    <t>全部</t>
  </si>
  <si>
    <t>手機＋充電線＋行動電源</t>
  </si>
  <si>
    <t>現金（台幣＋外幣）</t>
  </si>
  <si>
    <t>信用卡（開通海外刷卡）</t>
  </si>
  <si>
    <t>網路（eSIM／WiFi機）</t>
  </si>
  <si>
    <t>常用藥品＋腸胃藥</t>
  </si>
  <si>
    <t>訂房／機票證明（紙本＋截圖）</t>
  </si>
  <si>
    <t>旅遊平安險保單</t>
  </si>
  <si>
    <t>轉接頭（220V圓孔）</t>
  </si>
  <si>
    <t>韓國/泰國</t>
  </si>
  <si>
    <t>Visit Japan Web QR Code</t>
  </si>
  <si>
    <t>TDAC 數位入境卡</t>
  </si>
  <si>
    <t>建議</t>
  </si>
  <si>
    <t>折疊傘／雨衣</t>
  </si>
  <si>
    <t>防曬乳＋帽子</t>
  </si>
  <si>
    <t>好走的鞋</t>
  </si>
  <si>
    <t>保溫瓶</t>
  </si>
  <si>
    <t>空行李袋（戰利品）</t>
  </si>
  <si>
    <t>防蚊液</t>
  </si>
  <si>
    <t>台灣/泰國</t>
  </si>
  <si>
    <t>發熱衣／暖暖包（冬季）</t>
  </si>
  <si>
    <t>日本/韓國</t>
  </si>
  <si>
    <t>手機防水袋</t>
  </si>
  <si>
    <t>護照影本（與正本分開放）</t>
  </si>
  <si>
    <t>緊急聯絡人資訊卡</t>
  </si>
  <si>
    <t>完成進度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</si>
</sst>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(#,##0\);&quot;-&quot;"/>
  </numFmts>
  <fonts count="12">
    <font>
      <sz val="11"/>
      <color theme="1"/>
      <name val="新細明體"/>
      <family val="2"/>
      <scheme val="minor"/>
    </font>
    <font>
      <b/>
      <sz val="11"/>
      <color rgb="FFFFFFFF"/>
      <name val="Microsoft JhengHei"/>
      <family val="2"/>
      <charset val="136"/>
    </font>
    <font>
      <b/>
      <sz val="11"/>
      <name val="Microsoft JhengHei"/>
      <family val="2"/>
      <charset val="136"/>
    </font>
    <font>
      <sz val="11"/>
      <color rgb="FF0000FF"/>
      <name val="Microsoft JhengHei"/>
      <family val="2"/>
      <charset val="136"/>
    </font>
    <font>
      <i/>
      <sz val="9"/>
      <color rgb="FF808080"/>
      <name val="Microsoft JhengHei"/>
      <family val="2"/>
      <charset val="136"/>
    </font>
    <font>
      <b/>
      <sz val="16"/>
      <color rgb="FF0E7490"/>
      <name val="Microsoft JhengHei"/>
      <family val="2"/>
      <charset val="136"/>
    </font>
    <font>
      <sz val="9"/>
      <color rgb="FF808080"/>
      <name val="Microsoft JhengHei"/>
      <family val="2"/>
      <charset val="136"/>
    </font>
    <font>
      <sz val="11"/>
      <color rgb="FF000000"/>
      <name val="Microsoft JhengHei"/>
      <family val="2"/>
      <charset val="136"/>
    </font>
    <font>
      <b/>
      <sz val="13"/>
      <color rgb="FF0E7490"/>
      <name val="Microsoft JhengHei"/>
      <family val="2"/>
      <charset val="136"/>
    </font>
    <font>
      <b/>
      <sz val="11"/>
      <color rgb="FFB91C1C"/>
      <name val="Microsoft JhengHei"/>
      <family val="2"/>
      <charset val="136"/>
    </font>
    <font>
      <b/>
      <sz val="11"/>
      <color rgb="FFB45309"/>
      <name val="Microsoft JhengHei"/>
      <family val="2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E7490"/>
      </patternFill>
    </fill>
    <fill>
      <patternFill patternType="solid">
        <fgColor rgb="FFFFFF00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5" fillId="0" borderId="0" xfId="0" applyFont="1"/>
    <xf numFmtId="0" fontId="6" fillId="0" borderId="0" xfId="0" applyFont="1"/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7" fillId="0" borderId="1" xfId="0" applyFont="1" applyBorder="1"/>
    <xf numFmtId="176" fontId="7" fillId="0" borderId="1" xfId="0" applyNumberFormat="1" applyFont="1" applyBorder="1"/>
    <xf numFmtId="0" fontId="0" fillId="0" borderId="1" xfId="0" applyBorder="1"/>
    <xf numFmtId="176" fontId="0" fillId="0" borderId="1" xfId="0" applyNumberFormat="1" applyBorder="1"/>
    <xf numFmtId="176" fontId="2" fillId="4" borderId="1" xfId="0" applyNumberFormat="1" applyFont="1" applyFill="1" applyBorder="1"/>
    <xf numFmtId="176" fontId="7" fillId="4" borderId="1" xfId="0" applyNumberFormat="1" applyFont="1" applyFill="1" applyBorder="1"/>
    <xf numFmtId="0" fontId="8" fillId="0" borderId="1" xfId="0" applyFont="1" applyBorder="1"/>
    <xf numFmtId="176" fontId="8" fillId="4" borderId="1" xfId="0" applyNumberFormat="1" applyFont="1" applyFill="1" applyBorder="1"/>
    <xf numFmtId="0" fontId="3" fillId="0" borderId="1" xfId="0" applyFont="1" applyBorder="1"/>
    <xf numFmtId="0" fontId="4" fillId="0" borderId="0" xfId="0" applyFont="1"/>
    <xf numFmtId="176" fontId="7" fillId="0" borderId="0" xfId="0" applyNumberFormat="1" applyFont="1"/>
    <xf numFmtId="0" fontId="9" fillId="0" borderId="1" xfId="0" applyFont="1" applyBorder="1"/>
    <xf numFmtId="0" fontId="10" fillId="0" borderId="1" xfId="0" applyFont="1" applyBorder="1"/>
    <xf numFmtId="0" fontId="7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workbookViewId="0"/>
  </sheetViews>
  <sheetFormatPr defaultRowHeight="15.75"/>
  <cols>
    <col min="1" max="1" width="22" customWidth="1"/>
    <col min="2" max="4" width="14" customWidth="1"/>
    <col min="5" max="5" width="16" customWidth="1"/>
    <col min="6" max="6" width="14" customWidth="1"/>
  </cols>
  <sheetData>
    <row r="1" spans="1:6" ht="20.25">
      <c r="A1" s="1" t="s">
        <v>0</v>
      </c>
    </row>
    <row r="2" spans="1:6">
      <c r="A2" s="2" t="s">
        <v>1</v>
      </c>
    </row>
    <row r="4" spans="1:6">
      <c r="A4" s="3" t="s">
        <v>2</v>
      </c>
      <c r="B4" s="4" t="s">
        <v>3</v>
      </c>
      <c r="D4" s="3" t="s">
        <v>4</v>
      </c>
      <c r="E4" s="5">
        <f>B7+B8*0.5</f>
        <v>2</v>
      </c>
    </row>
    <row r="5" spans="1:6">
      <c r="A5" s="3" t="s">
        <v>5</v>
      </c>
      <c r="B5" s="4" t="s">
        <v>6</v>
      </c>
      <c r="D5" s="3" t="s">
        <v>7</v>
      </c>
      <c r="E5" s="5">
        <f>MAX(B6-1,0)</f>
        <v>4</v>
      </c>
    </row>
    <row r="6" spans="1:6">
      <c r="A6" s="3" t="s">
        <v>8</v>
      </c>
      <c r="B6" s="4">
        <v>5</v>
      </c>
      <c r="D6" s="3" t="s">
        <v>9</v>
      </c>
      <c r="E6" s="5">
        <f>VLOOKUP($B$4,單價參考!$A$2:$J$5,9,FALSE)</f>
        <v>0.21</v>
      </c>
    </row>
    <row r="7" spans="1:6">
      <c r="A7" s="3" t="s">
        <v>10</v>
      </c>
      <c r="B7" s="4">
        <v>2</v>
      </c>
      <c r="D7" s="3" t="s">
        <v>11</v>
      </c>
      <c r="E7" s="5" t="str">
        <f>VLOOKUP($B$4,單價參考!$A$2:$J$5,10,FALSE)</f>
        <v>JPY</v>
      </c>
    </row>
    <row r="8" spans="1:6">
      <c r="A8" s="3" t="s">
        <v>12</v>
      </c>
      <c r="B8" s="4">
        <v>0</v>
      </c>
    </row>
    <row r="9" spans="1:6">
      <c r="A9" s="3" t="s">
        <v>13</v>
      </c>
      <c r="B9" s="4">
        <v>1</v>
      </c>
    </row>
    <row r="12" spans="1:6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18</v>
      </c>
      <c r="F12" s="6" t="s">
        <v>19</v>
      </c>
    </row>
    <row r="13" spans="1:6">
      <c r="A13" s="7" t="s">
        <v>20</v>
      </c>
      <c r="B13" s="8" t="s">
        <v>21</v>
      </c>
      <c r="C13" s="9">
        <f>VLOOKUP($B$4,單價參考!$A$2:$J$5,2,FALSE)</f>
        <v>12000</v>
      </c>
      <c r="D13" s="8">
        <f>$E$4</f>
        <v>2</v>
      </c>
      <c r="E13" s="9">
        <f t="shared" ref="E13:E19" si="0">C13*D13</f>
        <v>24000</v>
      </c>
      <c r="F13" s="9">
        <f t="shared" ref="F13:F19" si="1">IF($E$6&gt;0,E13/$E$6,0)</f>
        <v>114285.71428571429</v>
      </c>
    </row>
    <row r="14" spans="1:6">
      <c r="A14" s="7" t="s">
        <v>22</v>
      </c>
      <c r="B14" s="8" t="s">
        <v>23</v>
      </c>
      <c r="C14" s="9">
        <f>VLOOKUP($B$4,單價參考!$A$2:$J$5,3,FALSE)*$B$9</f>
        <v>2200</v>
      </c>
      <c r="D14" s="8">
        <f>$E$4*$E$5</f>
        <v>8</v>
      </c>
      <c r="E14" s="9">
        <f t="shared" si="0"/>
        <v>17600</v>
      </c>
      <c r="F14" s="9">
        <f t="shared" si="1"/>
        <v>83809.523809523816</v>
      </c>
    </row>
    <row r="15" spans="1:6">
      <c r="A15" s="7" t="s">
        <v>24</v>
      </c>
      <c r="B15" s="8" t="s">
        <v>25</v>
      </c>
      <c r="C15" s="9">
        <f>VLOOKUP($B$4,單價參考!$A$2:$J$5,4,FALSE)*$B$9</f>
        <v>1200</v>
      </c>
      <c r="D15" s="8">
        <f>$E$4*$B$6</f>
        <v>10</v>
      </c>
      <c r="E15" s="9">
        <f t="shared" si="0"/>
        <v>12000</v>
      </c>
      <c r="F15" s="9">
        <f t="shared" si="1"/>
        <v>57142.857142857145</v>
      </c>
    </row>
    <row r="16" spans="1:6">
      <c r="A16" s="7" t="s">
        <v>26</v>
      </c>
      <c r="B16" s="8" t="s">
        <v>25</v>
      </c>
      <c r="C16" s="9">
        <f>VLOOKUP($B$4,單價參考!$A$2:$J$5,5,FALSE)*$B$9</f>
        <v>700</v>
      </c>
      <c r="D16" s="8">
        <f>$E$4*$B$6</f>
        <v>10</v>
      </c>
      <c r="E16" s="9">
        <f t="shared" si="0"/>
        <v>7000</v>
      </c>
      <c r="F16" s="9">
        <f t="shared" si="1"/>
        <v>33333.333333333336</v>
      </c>
    </row>
    <row r="17" spans="1:6">
      <c r="A17" s="7" t="s">
        <v>27</v>
      </c>
      <c r="B17" s="8" t="s">
        <v>25</v>
      </c>
      <c r="C17" s="9">
        <f>VLOOKUP($B$4,單價參考!$A$2:$J$5,6,FALSE)*$B$9</f>
        <v>500</v>
      </c>
      <c r="D17" s="8">
        <f>$E$4*$B$6</f>
        <v>10</v>
      </c>
      <c r="E17" s="9">
        <f t="shared" si="0"/>
        <v>5000</v>
      </c>
      <c r="F17" s="9">
        <f t="shared" si="1"/>
        <v>23809.523809523809</v>
      </c>
    </row>
    <row r="18" spans="1:6">
      <c r="A18" s="7" t="s">
        <v>28</v>
      </c>
      <c r="B18" s="8" t="s">
        <v>25</v>
      </c>
      <c r="C18" s="9">
        <f>VLOOKUP($B$4,單價參考!$A$2:$J$5,7,FALSE)</f>
        <v>150</v>
      </c>
      <c r="D18" s="8">
        <f>$E$4*$B$6</f>
        <v>10</v>
      </c>
      <c r="E18" s="9">
        <f t="shared" si="0"/>
        <v>1500</v>
      </c>
      <c r="F18" s="9">
        <f t="shared" si="1"/>
        <v>7142.8571428571431</v>
      </c>
    </row>
    <row r="19" spans="1:6">
      <c r="A19" s="7" t="s">
        <v>29</v>
      </c>
      <c r="B19" s="8" t="s">
        <v>21</v>
      </c>
      <c r="C19" s="9">
        <f>VLOOKUP($B$4,單價參考!$A$2:$J$5,8,FALSE)</f>
        <v>3000</v>
      </c>
      <c r="D19" s="8">
        <f>$E$4</f>
        <v>2</v>
      </c>
      <c r="E19" s="9">
        <f t="shared" si="0"/>
        <v>6000</v>
      </c>
      <c r="F19" s="9">
        <f t="shared" si="1"/>
        <v>28571.428571428572</v>
      </c>
    </row>
    <row r="20" spans="1:6">
      <c r="A20" s="7" t="s">
        <v>30</v>
      </c>
      <c r="B20" s="10"/>
      <c r="C20" s="11"/>
      <c r="D20" s="10"/>
      <c r="E20" s="12">
        <f>SUM(E13:E19)</f>
        <v>73100</v>
      </c>
      <c r="F20" s="11"/>
    </row>
    <row r="21" spans="1:6">
      <c r="A21" s="7" t="s">
        <v>31</v>
      </c>
      <c r="B21" s="10"/>
      <c r="C21" s="11"/>
      <c r="D21" s="10"/>
      <c r="E21" s="13">
        <f>E20*0.1</f>
        <v>7310</v>
      </c>
      <c r="F21" s="11"/>
    </row>
    <row r="22" spans="1:6" ht="17.25">
      <c r="A22" s="14" t="s">
        <v>32</v>
      </c>
      <c r="B22" s="10"/>
      <c r="C22" s="11"/>
      <c r="D22" s="10"/>
      <c r="E22" s="15">
        <f>E20+E21</f>
        <v>80410</v>
      </c>
      <c r="F22" s="11"/>
    </row>
    <row r="23" spans="1:6">
      <c r="A23" s="7" t="s">
        <v>33</v>
      </c>
      <c r="B23" s="10"/>
      <c r="C23" s="11"/>
      <c r="D23" s="10"/>
      <c r="E23" s="13">
        <f>IF(B7+B8&gt;0,E22/(B7+B8),0)</f>
        <v>40205</v>
      </c>
      <c r="F23" s="11"/>
    </row>
    <row r="24" spans="1:6">
      <c r="A24" s="7" t="s">
        <v>34</v>
      </c>
      <c r="B24" s="10"/>
      <c r="C24" s="11"/>
      <c r="D24" s="10"/>
      <c r="E24" s="13">
        <f>IF($E$6&gt;0,E22/$E$6,0)</f>
        <v>382904.76190476189</v>
      </c>
      <c r="F24" s="11"/>
    </row>
  </sheetData>
  <phoneticPr fontId="11" type="noConversion"/>
  <dataValidations count="2">
    <dataValidation type="list" sqref="B4" xr:uid="{00000000-0002-0000-0000-000000000000}">
      <formula1>"台灣,日本,韓國,泰國"</formula1>
    </dataValidation>
    <dataValidation type="list" sqref="B9" xr:uid="{00000000-0002-0000-0000-000001000000}">
      <formula1>"0.8,1,1.5"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/>
  </sheetViews>
  <sheetFormatPr defaultRowHeight="15.75"/>
  <cols>
    <col min="1" max="1" width="10" customWidth="1"/>
    <col min="2" max="4" width="18" customWidth="1"/>
    <col min="5" max="6" width="20" customWidth="1"/>
    <col min="7" max="7" width="16" customWidth="1"/>
    <col min="8" max="9" width="18" customWidth="1"/>
    <col min="10" max="10" width="8" customWidth="1"/>
  </cols>
  <sheetData>
    <row r="1" spans="1:10">
      <c r="A1" s="6" t="s">
        <v>2</v>
      </c>
      <c r="B1" s="6" t="s">
        <v>35</v>
      </c>
      <c r="C1" s="6" t="s">
        <v>36</v>
      </c>
      <c r="D1" s="6" t="s">
        <v>37</v>
      </c>
      <c r="E1" s="6" t="s">
        <v>38</v>
      </c>
      <c r="F1" s="6" t="s">
        <v>39</v>
      </c>
      <c r="G1" s="6" t="s">
        <v>40</v>
      </c>
      <c r="H1" s="6" t="s">
        <v>41</v>
      </c>
      <c r="I1" s="6" t="s">
        <v>42</v>
      </c>
      <c r="J1" s="6" t="s">
        <v>11</v>
      </c>
    </row>
    <row r="2" spans="1:10">
      <c r="A2" s="7" t="s">
        <v>43</v>
      </c>
      <c r="B2" s="16">
        <v>0</v>
      </c>
      <c r="C2" s="16">
        <v>1600</v>
      </c>
      <c r="D2" s="16">
        <v>600</v>
      </c>
      <c r="E2" s="16">
        <v>600</v>
      </c>
      <c r="F2" s="16">
        <v>300</v>
      </c>
      <c r="G2" s="16">
        <v>60</v>
      </c>
      <c r="H2" s="16">
        <v>1000</v>
      </c>
      <c r="I2" s="16">
        <v>1</v>
      </c>
      <c r="J2" s="16" t="s">
        <v>44</v>
      </c>
    </row>
    <row r="3" spans="1:10">
      <c r="A3" s="7" t="s">
        <v>3</v>
      </c>
      <c r="B3" s="16">
        <v>12000</v>
      </c>
      <c r="C3" s="16">
        <v>2200</v>
      </c>
      <c r="D3" s="16">
        <v>1200</v>
      </c>
      <c r="E3" s="16">
        <v>700</v>
      </c>
      <c r="F3" s="16">
        <v>500</v>
      </c>
      <c r="G3" s="16">
        <v>150</v>
      </c>
      <c r="H3" s="16">
        <v>3000</v>
      </c>
      <c r="I3" s="16">
        <v>0.21</v>
      </c>
      <c r="J3" s="16" t="s">
        <v>45</v>
      </c>
    </row>
    <row r="4" spans="1:10">
      <c r="A4" s="7" t="s">
        <v>46</v>
      </c>
      <c r="B4" s="16">
        <v>9000</v>
      </c>
      <c r="C4" s="16">
        <v>1800</v>
      </c>
      <c r="D4" s="16">
        <v>1000</v>
      </c>
      <c r="E4" s="16">
        <v>500</v>
      </c>
      <c r="F4" s="16">
        <v>400</v>
      </c>
      <c r="G4" s="16">
        <v>150</v>
      </c>
      <c r="H4" s="16">
        <v>3000</v>
      </c>
      <c r="I4" s="16">
        <v>2.3E-2</v>
      </c>
      <c r="J4" s="16" t="s">
        <v>47</v>
      </c>
    </row>
    <row r="5" spans="1:10">
      <c r="A5" s="7" t="s">
        <v>48</v>
      </c>
      <c r="B5" s="16">
        <v>9500</v>
      </c>
      <c r="C5" s="16">
        <v>1300</v>
      </c>
      <c r="D5" s="16">
        <v>700</v>
      </c>
      <c r="E5" s="16">
        <v>450</v>
      </c>
      <c r="F5" s="16">
        <v>600</v>
      </c>
      <c r="G5" s="16">
        <v>180</v>
      </c>
      <c r="H5" s="16">
        <v>3000</v>
      </c>
      <c r="I5" s="16">
        <v>0.95</v>
      </c>
      <c r="J5" s="16" t="s">
        <v>49</v>
      </c>
    </row>
    <row r="7" spans="1:10">
      <c r="A7" s="17" t="s">
        <v>50</v>
      </c>
    </row>
  </sheetData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workbookViewId="0"/>
  </sheetViews>
  <sheetFormatPr defaultRowHeight="15.75"/>
  <cols>
    <col min="1" max="1" width="8" customWidth="1"/>
    <col min="2" max="2" width="12" customWidth="1"/>
    <col min="3" max="3" width="8" customWidth="1"/>
    <col min="4" max="4" width="36" customWidth="1"/>
    <col min="5" max="5" width="14" customWidth="1"/>
    <col min="6" max="6" width="16" customWidth="1"/>
    <col min="7" max="7" width="24" customWidth="1"/>
  </cols>
  <sheetData>
    <row r="1" spans="1:7" ht="20.25">
      <c r="A1" s="1" t="s">
        <v>51</v>
      </c>
    </row>
    <row r="3" spans="1:7">
      <c r="A3" s="6" t="s">
        <v>52</v>
      </c>
      <c r="B3" s="6" t="s">
        <v>53</v>
      </c>
      <c r="C3" s="6" t="s">
        <v>54</v>
      </c>
      <c r="D3" s="6" t="s">
        <v>55</v>
      </c>
      <c r="E3" s="6" t="s">
        <v>56</v>
      </c>
      <c r="F3" s="6" t="s">
        <v>57</v>
      </c>
      <c r="G3" s="6" t="s">
        <v>58</v>
      </c>
    </row>
    <row r="4" spans="1:7">
      <c r="A4" s="16">
        <v>1</v>
      </c>
      <c r="B4" s="8" t="str">
        <f>預算試算!B5</f>
        <v>2026-07-15</v>
      </c>
      <c r="C4" s="16" t="s">
        <v>59</v>
      </c>
      <c r="D4" s="16" t="s">
        <v>60</v>
      </c>
      <c r="E4" s="16" t="s">
        <v>61</v>
      </c>
      <c r="F4" s="16">
        <v>300</v>
      </c>
      <c r="G4" s="16" t="s">
        <v>62</v>
      </c>
    </row>
    <row r="5" spans="1:7">
      <c r="A5" s="16">
        <v>1</v>
      </c>
      <c r="B5" s="8" t="str">
        <f>預算試算!B5</f>
        <v>2026-07-15</v>
      </c>
      <c r="C5" s="16" t="s">
        <v>63</v>
      </c>
      <c r="D5" s="16" t="s">
        <v>64</v>
      </c>
      <c r="E5" s="16" t="s">
        <v>65</v>
      </c>
      <c r="F5" s="16">
        <v>50</v>
      </c>
      <c r="G5" s="16"/>
    </row>
    <row r="6" spans="1:7">
      <c r="A6" s="16">
        <v>2</v>
      </c>
      <c r="B6" s="16"/>
      <c r="C6" s="16" t="s">
        <v>66</v>
      </c>
      <c r="D6" s="16" t="s">
        <v>67</v>
      </c>
      <c r="E6" s="16"/>
      <c r="F6" s="16"/>
      <c r="G6" s="16"/>
    </row>
    <row r="7" spans="1:7">
      <c r="A7" s="10"/>
      <c r="B7" s="10"/>
      <c r="C7" s="10"/>
      <c r="D7" s="10"/>
      <c r="E7" s="10"/>
      <c r="F7" s="10"/>
      <c r="G7" s="10"/>
    </row>
    <row r="8" spans="1:7">
      <c r="A8" s="10"/>
      <c r="B8" s="10"/>
      <c r="C8" s="10"/>
      <c r="D8" s="10"/>
      <c r="E8" s="10"/>
      <c r="F8" s="10"/>
      <c r="G8" s="10"/>
    </row>
    <row r="9" spans="1:7">
      <c r="A9" s="10"/>
      <c r="B9" s="10"/>
      <c r="C9" s="10"/>
      <c r="D9" s="10"/>
      <c r="E9" s="10"/>
      <c r="F9" s="10"/>
      <c r="G9" s="10"/>
    </row>
    <row r="10" spans="1:7">
      <c r="A10" s="10"/>
      <c r="B10" s="10"/>
      <c r="C10" s="10"/>
      <c r="D10" s="10"/>
      <c r="E10" s="10"/>
      <c r="F10" s="10"/>
      <c r="G10" s="10"/>
    </row>
    <row r="11" spans="1:7">
      <c r="A11" s="10"/>
      <c r="B11" s="10"/>
      <c r="C11" s="10"/>
      <c r="D11" s="10"/>
      <c r="E11" s="10"/>
      <c r="F11" s="10"/>
      <c r="G11" s="10"/>
    </row>
    <row r="12" spans="1:7">
      <c r="A12" s="10"/>
      <c r="B12" s="10"/>
      <c r="C12" s="10"/>
      <c r="D12" s="10"/>
      <c r="E12" s="10"/>
      <c r="F12" s="10"/>
      <c r="G12" s="10"/>
    </row>
    <row r="13" spans="1:7">
      <c r="A13" s="10"/>
      <c r="B13" s="10"/>
      <c r="C13" s="10"/>
      <c r="D13" s="10"/>
      <c r="E13" s="10"/>
      <c r="F13" s="10"/>
      <c r="G13" s="10"/>
    </row>
    <row r="14" spans="1:7">
      <c r="A14" s="10"/>
      <c r="B14" s="10"/>
      <c r="C14" s="10"/>
      <c r="D14" s="10"/>
      <c r="E14" s="10"/>
      <c r="F14" s="10"/>
      <c r="G14" s="10"/>
    </row>
    <row r="15" spans="1:7">
      <c r="A15" s="10"/>
      <c r="B15" s="10"/>
      <c r="C15" s="10"/>
      <c r="D15" s="10"/>
      <c r="E15" s="10"/>
      <c r="F15" s="10"/>
      <c r="G15" s="10"/>
    </row>
    <row r="16" spans="1:7">
      <c r="A16" s="10"/>
      <c r="B16" s="10"/>
      <c r="C16" s="10"/>
      <c r="D16" s="10"/>
      <c r="E16" s="10"/>
      <c r="F16" s="10"/>
      <c r="G16" s="10"/>
    </row>
    <row r="17" spans="1:7">
      <c r="A17" s="10"/>
      <c r="B17" s="10"/>
      <c r="C17" s="10"/>
      <c r="D17" s="10"/>
      <c r="E17" s="10"/>
      <c r="F17" s="10"/>
      <c r="G17" s="10"/>
    </row>
    <row r="18" spans="1:7">
      <c r="A18" s="10"/>
      <c r="B18" s="10"/>
      <c r="C18" s="10"/>
      <c r="D18" s="10"/>
      <c r="E18" s="10"/>
      <c r="F18" s="10"/>
      <c r="G18" s="10"/>
    </row>
    <row r="19" spans="1:7">
      <c r="A19" s="10"/>
      <c r="B19" s="10"/>
      <c r="C19" s="10"/>
      <c r="D19" s="10"/>
      <c r="E19" s="10"/>
      <c r="F19" s="10"/>
      <c r="G19" s="10"/>
    </row>
    <row r="20" spans="1:7">
      <c r="A20" s="10"/>
      <c r="B20" s="10"/>
      <c r="C20" s="10"/>
      <c r="D20" s="10"/>
      <c r="E20" s="10"/>
      <c r="F20" s="10"/>
      <c r="G20" s="10"/>
    </row>
    <row r="21" spans="1:7">
      <c r="A21" s="10"/>
      <c r="B21" s="10"/>
      <c r="C21" s="10"/>
      <c r="D21" s="10"/>
      <c r="E21" s="10"/>
      <c r="F21" s="10"/>
      <c r="G21" s="10"/>
    </row>
    <row r="22" spans="1:7">
      <c r="A22" s="10"/>
      <c r="B22" s="10"/>
      <c r="C22" s="10"/>
      <c r="D22" s="10"/>
      <c r="E22" s="10"/>
      <c r="F22" s="10"/>
      <c r="G22" s="10"/>
    </row>
    <row r="23" spans="1:7">
      <c r="A23" s="10"/>
      <c r="B23" s="10"/>
      <c r="C23" s="10"/>
      <c r="D23" s="10"/>
      <c r="E23" s="10"/>
      <c r="F23" s="10"/>
      <c r="G23" s="10"/>
    </row>
    <row r="25" spans="1:7">
      <c r="E25" s="3" t="s">
        <v>68</v>
      </c>
      <c r="F25" s="18">
        <f>SUM(F4:F23)</f>
        <v>350</v>
      </c>
    </row>
  </sheetData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workbookViewId="0"/>
  </sheetViews>
  <sheetFormatPr defaultRowHeight="15.75"/>
  <cols>
    <col min="1" max="1" width="8" customWidth="1"/>
    <col min="2" max="2" width="36" customWidth="1"/>
    <col min="3" max="3" width="14" customWidth="1"/>
    <col min="4" max="4" width="10" customWidth="1"/>
  </cols>
  <sheetData>
    <row r="1" spans="1:4" ht="20.25">
      <c r="A1" s="1" t="s">
        <v>69</v>
      </c>
    </row>
    <row r="2" spans="1:4">
      <c r="A2" s="2" t="s">
        <v>70</v>
      </c>
    </row>
    <row r="4" spans="1:4">
      <c r="A4" s="6" t="s">
        <v>71</v>
      </c>
      <c r="B4" s="6" t="s">
        <v>72</v>
      </c>
      <c r="C4" s="6" t="s">
        <v>73</v>
      </c>
      <c r="D4" s="6" t="s">
        <v>74</v>
      </c>
    </row>
    <row r="5" spans="1:4">
      <c r="A5" s="19" t="s">
        <v>75</v>
      </c>
      <c r="B5" s="8" t="s">
        <v>76</v>
      </c>
      <c r="C5" s="8" t="s">
        <v>77</v>
      </c>
      <c r="D5" s="16"/>
    </row>
    <row r="6" spans="1:4">
      <c r="A6" s="19" t="s">
        <v>75</v>
      </c>
      <c r="B6" s="8" t="s">
        <v>78</v>
      </c>
      <c r="C6" s="8" t="s">
        <v>79</v>
      </c>
      <c r="D6" s="16"/>
    </row>
    <row r="7" spans="1:4">
      <c r="A7" s="19" t="s">
        <v>75</v>
      </c>
      <c r="B7" s="8" t="s">
        <v>80</v>
      </c>
      <c r="C7" s="8" t="s">
        <v>79</v>
      </c>
      <c r="D7" s="16"/>
    </row>
    <row r="8" spans="1:4">
      <c r="A8" s="19" t="s">
        <v>75</v>
      </c>
      <c r="B8" s="8" t="s">
        <v>81</v>
      </c>
      <c r="C8" s="8" t="s">
        <v>79</v>
      </c>
      <c r="D8" s="16"/>
    </row>
    <row r="9" spans="1:4">
      <c r="A9" s="19" t="s">
        <v>75</v>
      </c>
      <c r="B9" s="8" t="s">
        <v>82</v>
      </c>
      <c r="C9" s="8" t="s">
        <v>77</v>
      </c>
      <c r="D9" s="16"/>
    </row>
    <row r="10" spans="1:4">
      <c r="A10" s="19" t="s">
        <v>75</v>
      </c>
      <c r="B10" s="8" t="s">
        <v>83</v>
      </c>
      <c r="C10" s="8" t="s">
        <v>77</v>
      </c>
      <c r="D10" s="16"/>
    </row>
    <row r="11" spans="1:4">
      <c r="A11" s="19" t="s">
        <v>75</v>
      </c>
      <c r="B11" s="8" t="s">
        <v>84</v>
      </c>
      <c r="C11" s="8" t="s">
        <v>79</v>
      </c>
      <c r="D11" s="16"/>
    </row>
    <row r="12" spans="1:4">
      <c r="A12" s="19" t="s">
        <v>75</v>
      </c>
      <c r="B12" s="8" t="s">
        <v>85</v>
      </c>
      <c r="C12" s="8" t="s">
        <v>79</v>
      </c>
      <c r="D12" s="16"/>
    </row>
    <row r="13" spans="1:4">
      <c r="A13" s="19" t="s">
        <v>75</v>
      </c>
      <c r="B13" s="8" t="s">
        <v>86</v>
      </c>
      <c r="C13" s="8" t="s">
        <v>77</v>
      </c>
      <c r="D13" s="16"/>
    </row>
    <row r="14" spans="1:4">
      <c r="A14" s="19" t="s">
        <v>75</v>
      </c>
      <c r="B14" s="8" t="s">
        <v>87</v>
      </c>
      <c r="C14" s="8" t="s">
        <v>88</v>
      </c>
      <c r="D14" s="16"/>
    </row>
    <row r="15" spans="1:4">
      <c r="A15" s="19" t="s">
        <v>75</v>
      </c>
      <c r="B15" s="8" t="s">
        <v>89</v>
      </c>
      <c r="C15" s="8" t="s">
        <v>3</v>
      </c>
      <c r="D15" s="16"/>
    </row>
    <row r="16" spans="1:4">
      <c r="A16" s="19" t="s">
        <v>75</v>
      </c>
      <c r="B16" s="8" t="s">
        <v>90</v>
      </c>
      <c r="C16" s="8" t="s">
        <v>48</v>
      </c>
      <c r="D16" s="16"/>
    </row>
    <row r="17" spans="1:4">
      <c r="A17" s="20" t="s">
        <v>91</v>
      </c>
      <c r="B17" s="8" t="s">
        <v>92</v>
      </c>
      <c r="C17" s="8" t="s">
        <v>79</v>
      </c>
      <c r="D17" s="16"/>
    </row>
    <row r="18" spans="1:4">
      <c r="A18" s="20" t="s">
        <v>91</v>
      </c>
      <c r="B18" s="8" t="s">
        <v>93</v>
      </c>
      <c r="C18" s="8" t="s">
        <v>79</v>
      </c>
      <c r="D18" s="16"/>
    </row>
    <row r="19" spans="1:4">
      <c r="A19" s="20" t="s">
        <v>91</v>
      </c>
      <c r="B19" s="8" t="s">
        <v>94</v>
      </c>
      <c r="C19" s="8" t="s">
        <v>79</v>
      </c>
      <c r="D19" s="16"/>
    </row>
    <row r="20" spans="1:4">
      <c r="A20" s="20" t="s">
        <v>91</v>
      </c>
      <c r="B20" s="8" t="s">
        <v>95</v>
      </c>
      <c r="C20" s="8" t="s">
        <v>79</v>
      </c>
      <c r="D20" s="16"/>
    </row>
    <row r="21" spans="1:4">
      <c r="A21" s="20" t="s">
        <v>91</v>
      </c>
      <c r="B21" s="8" t="s">
        <v>96</v>
      </c>
      <c r="C21" s="8" t="s">
        <v>77</v>
      </c>
      <c r="D21" s="16"/>
    </row>
    <row r="22" spans="1:4">
      <c r="A22" s="20" t="s">
        <v>91</v>
      </c>
      <c r="B22" s="8" t="s">
        <v>97</v>
      </c>
      <c r="C22" s="8" t="s">
        <v>98</v>
      </c>
      <c r="D22" s="16"/>
    </row>
    <row r="23" spans="1:4">
      <c r="A23" s="20" t="s">
        <v>91</v>
      </c>
      <c r="B23" s="8" t="s">
        <v>99</v>
      </c>
      <c r="C23" s="8" t="s">
        <v>100</v>
      </c>
      <c r="D23" s="16"/>
    </row>
    <row r="24" spans="1:4">
      <c r="A24" s="20" t="s">
        <v>91</v>
      </c>
      <c r="B24" s="8" t="s">
        <v>101</v>
      </c>
      <c r="C24" s="8" t="s">
        <v>48</v>
      </c>
      <c r="D24" s="16"/>
    </row>
    <row r="25" spans="1:4">
      <c r="A25" s="20" t="s">
        <v>91</v>
      </c>
      <c r="B25" s="8" t="s">
        <v>102</v>
      </c>
      <c r="C25" s="8" t="s">
        <v>77</v>
      </c>
      <c r="D25" s="16"/>
    </row>
    <row r="26" spans="1:4">
      <c r="A26" s="20" t="s">
        <v>91</v>
      </c>
      <c r="B26" s="8" t="s">
        <v>103</v>
      </c>
      <c r="C26" s="8" t="s">
        <v>79</v>
      </c>
      <c r="D26" s="16"/>
    </row>
    <row r="28" spans="1:4">
      <c r="B28" s="3" t="s">
        <v>104</v>
      </c>
      <c r="C28" s="21" t="str">
        <f>COUNTIF(D5:D26,1)&amp;" / "&amp;COUNTA(B5:B26)&amp;" 項"</f>
        <v>0 / 22 項</v>
      </c>
    </row>
  </sheetData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預算試算</vt:lpstr>
      <vt:lpstr>單價參考</vt:lpstr>
      <vt:lpstr>行程表</vt:lpstr>
      <vt:lpstr>攜帶清單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展宏 郭</cp:lastModifiedBy>
  <dcterms:created xsi:type="dcterms:W3CDTF">2026-06-11T11:30:59Z</dcterms:created>
  <dcterms:modified xsi:type="dcterms:W3CDTF">2026-06-11T11:33:49Z</dcterms:modified>
</cp:coreProperties>
</file>